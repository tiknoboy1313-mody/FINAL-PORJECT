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Flight Log" sheetId="1" r:id="rId1"/>
    <sheet name="Dashboard Summary" sheetId="2" r:id="rId2"/>
  </sheets>
  <definedNames>
    <definedName name="_xlnm._FilterDatabase" localSheetId="0" hidden="1">'Flight Log'!$A$3:$F$15</definedName>
  </definedNames>
  <calcPr calcId="144525"/>
  <fileRecoveryPr repairLoad="1"/>
</workbook>
</file>

<file path=xl/calcChain.xml><?xml version="1.0" encoding="utf-8"?>
<calcChain xmlns="http://schemas.openxmlformats.org/spreadsheetml/2006/main">
  <c r="B7" i="2" l="1"/>
  <c r="B6" i="2"/>
  <c r="B5" i="2"/>
  <c r="B4" i="2"/>
  <c r="B3" i="2"/>
</calcChain>
</file>

<file path=xl/sharedStrings.xml><?xml version="1.0" encoding="utf-8"?>
<sst xmlns="http://schemas.openxmlformats.org/spreadsheetml/2006/main" count="64" uniqueCount="46">
  <si>
    <t>AEROHUB SMART AIRPORT | FLIGHT SCHEDULE DASHBOARD</t>
  </si>
  <si>
    <t>Flight Number</t>
  </si>
  <si>
    <t>Airline</t>
  </si>
  <si>
    <t>Destination Continent</t>
  </si>
  <si>
    <t>Scheduled Departure Time</t>
  </si>
  <si>
    <t>Passenger Count</t>
  </si>
  <si>
    <t>Delay – Minutes</t>
  </si>
  <si>
    <t>AH101</t>
  </si>
  <si>
    <t>AeroHub Airways</t>
  </si>
  <si>
    <t>Europe</t>
  </si>
  <si>
    <t>06:30</t>
  </si>
  <si>
    <t>AH102</t>
  </si>
  <si>
    <t>EgyptAir</t>
  </si>
  <si>
    <t>Asia</t>
  </si>
  <si>
    <t>07:15</t>
  </si>
  <si>
    <t>AH103</t>
  </si>
  <si>
    <t>Africa</t>
  </si>
  <si>
    <t>08:00</t>
  </si>
  <si>
    <t>AH104</t>
  </si>
  <si>
    <t>Nile Airlines</t>
  </si>
  <si>
    <t>09:20</t>
  </si>
  <si>
    <t>AH105</t>
  </si>
  <si>
    <t>10:45</t>
  </si>
  <si>
    <t>AH106</t>
  </si>
  <si>
    <t>North America</t>
  </si>
  <si>
    <t>12:10</t>
  </si>
  <si>
    <t>AH107</t>
  </si>
  <si>
    <t>13:30</t>
  </si>
  <si>
    <t>AH108</t>
  </si>
  <si>
    <t>15:00</t>
  </si>
  <si>
    <t>AH109</t>
  </si>
  <si>
    <t>17:15</t>
  </si>
  <si>
    <t>AH110</t>
  </si>
  <si>
    <t>19:40</t>
  </si>
  <si>
    <t>AH111</t>
  </si>
  <si>
    <t>21:00</t>
  </si>
  <si>
    <t>AH112</t>
  </si>
  <si>
    <t>22:30</t>
  </si>
  <si>
    <t>AEROHUB | DASHBOARD SUMMARY</t>
  </si>
  <si>
    <t>Total Flights</t>
  </si>
  <si>
    <t>Total Passengers</t>
  </si>
  <si>
    <t>Average Delay (min)</t>
  </si>
  <si>
    <t>Maximum Delay (min)</t>
  </si>
  <si>
    <t>Minimum Delay (min)</t>
  </si>
  <si>
    <t>ACTIVE FILTER VIEW</t>
  </si>
  <si>
    <t>Expected Europe flights: AH101, AH104, AH108, AH110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</si>
</sst>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1"/>
      <color rgb="FF1E293B"/>
      <name val="Calibri"/>
    </font>
    <font>
      <b/>
      <sz val="14"/>
      <color rgb="FF0D9488"/>
      <name val="Calibri"/>
    </font>
    <font>
      <i/>
      <sz val="11"/>
      <color rgb="FF47556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A1128"/>
      </patternFill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E0F2FE"/>
      </patternFill>
    </fill>
    <fill>
      <patternFill patternType="solid">
        <fgColor rgb="FFF0FDFA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4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2" fontId="5" fillId="7" borderId="0" xfId="0" applyNumberFormat="1" applyFont="1" applyFill="1" applyAlignment="1">
      <alignment horizontal="center"/>
    </xf>
    <xf numFmtId="0" fontId="2" fillId="8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/>
    <xf numFmtId="0" fontId="3" fillId="2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Passenger Count by Flight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'Flight Log'!$E$3</c:f>
              <c:strCache>
                <c:ptCount val="1"/>
                <c:pt idx="0">
                  <c:v>Passenger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'Flight Log'!$A$4:$A$15</c:f>
              <c:strCache>
                <c:ptCount val="12"/>
                <c:pt idx="0">
                  <c:v>AH101</c:v>
                </c:pt>
                <c:pt idx="1">
                  <c:v>AH102</c:v>
                </c:pt>
                <c:pt idx="2">
                  <c:v>AH103</c:v>
                </c:pt>
                <c:pt idx="3">
                  <c:v>AH104</c:v>
                </c:pt>
                <c:pt idx="4">
                  <c:v>AH105</c:v>
                </c:pt>
                <c:pt idx="5">
                  <c:v>AH106</c:v>
                </c:pt>
                <c:pt idx="6">
                  <c:v>AH107</c:v>
                </c:pt>
                <c:pt idx="7">
                  <c:v>AH108</c:v>
                </c:pt>
                <c:pt idx="8">
                  <c:v>AH109</c:v>
                </c:pt>
                <c:pt idx="9">
                  <c:v>AH110</c:v>
                </c:pt>
                <c:pt idx="10">
                  <c:v>AH111</c:v>
                </c:pt>
                <c:pt idx="11">
                  <c:v>AH112</c:v>
                </c:pt>
              </c:strCache>
            </c:strRef>
          </c:cat>
          <c:val>
            <c:numRef>
              <c:f>'Flight Log'!$E$4:$E$15</c:f>
              <c:numCache>
                <c:formatCode>General</c:formatCode>
                <c:ptCount val="12"/>
                <c:pt idx="0">
                  <c:v>180</c:v>
                </c:pt>
                <c:pt idx="1">
                  <c:v>220</c:v>
                </c:pt>
                <c:pt idx="2">
                  <c:v>165</c:v>
                </c:pt>
                <c:pt idx="3">
                  <c:v>195</c:v>
                </c:pt>
                <c:pt idx="4">
                  <c:v>240</c:v>
                </c:pt>
                <c:pt idx="5">
                  <c:v>210</c:v>
                </c:pt>
                <c:pt idx="6">
                  <c:v>175</c:v>
                </c:pt>
                <c:pt idx="7">
                  <c:v>230</c:v>
                </c:pt>
                <c:pt idx="8">
                  <c:v>205</c:v>
                </c:pt>
                <c:pt idx="9">
                  <c:v>190</c:v>
                </c:pt>
                <c:pt idx="10">
                  <c:v>215</c:v>
                </c:pt>
                <c:pt idx="11">
                  <c:v>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527744"/>
        <c:axId val="256934656"/>
      </c:barChart>
      <c:catAx>
        <c:axId val="212527744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Passengers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256934656"/>
        <c:crosses val="autoZero"/>
        <c:auto val="1"/>
        <c:lblAlgn val="ctr"/>
        <c:lblOffset val="100"/>
        <c:noMultiLvlLbl val="1"/>
      </c:catAx>
      <c:valAx>
        <c:axId val="256934656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Flight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212527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76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1E3A8A"/>
  </sheetPr>
  <dimension ref="A1:F15"/>
  <sheetViews>
    <sheetView showGridLines="0" tabSelected="1" workbookViewId="0">
      <pane ySplit="3" topLeftCell="A4" activePane="bottomLeft" state="frozen"/>
      <selection pane="bottomLeft" activeCell="G8" sqref="G8"/>
    </sheetView>
  </sheetViews>
  <sheetFormatPr defaultRowHeight="15" x14ac:dyDescent="0.25"/>
  <cols>
    <col min="1" max="1" width="16" customWidth="1"/>
    <col min="2" max="2" width="22" customWidth="1"/>
    <col min="3" max="3" width="24" customWidth="1"/>
    <col min="4" max="4" width="28" customWidth="1"/>
    <col min="5" max="5" width="17" customWidth="1"/>
    <col min="6" max="6" width="16" customWidth="1"/>
  </cols>
  <sheetData>
    <row r="1" spans="1:6" ht="21" x14ac:dyDescent="0.35">
      <c r="A1" s="10" t="s">
        <v>0</v>
      </c>
      <c r="B1" s="11"/>
      <c r="C1" s="11"/>
      <c r="D1" s="11"/>
      <c r="E1" s="11"/>
      <c r="F1" s="11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 t="s">
        <v>7</v>
      </c>
      <c r="B4" s="3" t="s">
        <v>8</v>
      </c>
      <c r="C4" s="2" t="s">
        <v>9</v>
      </c>
      <c r="D4" s="2" t="s">
        <v>10</v>
      </c>
      <c r="E4" s="2">
        <v>180</v>
      </c>
      <c r="F4" s="2">
        <v>15</v>
      </c>
    </row>
    <row r="5" spans="1:6" x14ac:dyDescent="0.25">
      <c r="A5" s="4" t="s">
        <v>11</v>
      </c>
      <c r="B5" s="5" t="s">
        <v>12</v>
      </c>
      <c r="C5" s="4" t="s">
        <v>13</v>
      </c>
      <c r="D5" s="4" t="s">
        <v>14</v>
      </c>
      <c r="E5" s="4">
        <v>220</v>
      </c>
      <c r="F5" s="4">
        <v>5</v>
      </c>
    </row>
    <row r="6" spans="1:6" x14ac:dyDescent="0.25">
      <c r="A6" s="2" t="s">
        <v>15</v>
      </c>
      <c r="B6" s="3" t="s">
        <v>8</v>
      </c>
      <c r="C6" s="2" t="s">
        <v>16</v>
      </c>
      <c r="D6" s="2" t="s">
        <v>17</v>
      </c>
      <c r="E6" s="2">
        <v>165</v>
      </c>
      <c r="F6" s="2">
        <v>25</v>
      </c>
    </row>
    <row r="7" spans="1:6" x14ac:dyDescent="0.25">
      <c r="A7" s="4" t="s">
        <v>18</v>
      </c>
      <c r="B7" s="5" t="s">
        <v>19</v>
      </c>
      <c r="C7" s="4" t="s">
        <v>9</v>
      </c>
      <c r="D7" s="4" t="s">
        <v>20</v>
      </c>
      <c r="E7" s="4">
        <v>195</v>
      </c>
      <c r="F7" s="4">
        <v>0</v>
      </c>
    </row>
    <row r="8" spans="1:6" x14ac:dyDescent="0.25">
      <c r="A8" s="2" t="s">
        <v>21</v>
      </c>
      <c r="B8" s="3" t="s">
        <v>12</v>
      </c>
      <c r="C8" s="2" t="s">
        <v>13</v>
      </c>
      <c r="D8" s="2" t="s">
        <v>22</v>
      </c>
      <c r="E8" s="2">
        <v>240</v>
      </c>
      <c r="F8" s="2">
        <v>40</v>
      </c>
    </row>
    <row r="9" spans="1:6" x14ac:dyDescent="0.25">
      <c r="A9" s="4" t="s">
        <v>23</v>
      </c>
      <c r="B9" s="5" t="s">
        <v>8</v>
      </c>
      <c r="C9" s="4" t="s">
        <v>24</v>
      </c>
      <c r="D9" s="4" t="s">
        <v>25</v>
      </c>
      <c r="E9" s="4">
        <v>210</v>
      </c>
      <c r="F9" s="4">
        <v>10</v>
      </c>
    </row>
    <row r="10" spans="1:6" x14ac:dyDescent="0.25">
      <c r="A10" s="2" t="s">
        <v>26</v>
      </c>
      <c r="B10" s="3" t="s">
        <v>19</v>
      </c>
      <c r="C10" s="2" t="s">
        <v>16</v>
      </c>
      <c r="D10" s="2" t="s">
        <v>27</v>
      </c>
      <c r="E10" s="2">
        <v>175</v>
      </c>
      <c r="F10" s="2">
        <v>30</v>
      </c>
    </row>
    <row r="11" spans="1:6" x14ac:dyDescent="0.25">
      <c r="A11" s="4" t="s">
        <v>28</v>
      </c>
      <c r="B11" s="5" t="s">
        <v>12</v>
      </c>
      <c r="C11" s="4" t="s">
        <v>9</v>
      </c>
      <c r="D11" s="4" t="s">
        <v>29</v>
      </c>
      <c r="E11" s="4">
        <v>230</v>
      </c>
      <c r="F11" s="4">
        <v>20</v>
      </c>
    </row>
    <row r="12" spans="1:6" x14ac:dyDescent="0.25">
      <c r="A12" s="2" t="s">
        <v>30</v>
      </c>
      <c r="B12" s="3" t="s">
        <v>8</v>
      </c>
      <c r="C12" s="2" t="s">
        <v>13</v>
      </c>
      <c r="D12" s="2" t="s">
        <v>31</v>
      </c>
      <c r="E12" s="2">
        <v>205</v>
      </c>
      <c r="F12" s="2">
        <v>50</v>
      </c>
    </row>
    <row r="13" spans="1:6" x14ac:dyDescent="0.25">
      <c r="A13" s="4" t="s">
        <v>32</v>
      </c>
      <c r="B13" s="5" t="s">
        <v>19</v>
      </c>
      <c r="C13" s="4" t="s">
        <v>9</v>
      </c>
      <c r="D13" s="4" t="s">
        <v>33</v>
      </c>
      <c r="E13" s="4">
        <v>190</v>
      </c>
      <c r="F13" s="4">
        <v>8</v>
      </c>
    </row>
    <row r="14" spans="1:6" x14ac:dyDescent="0.25">
      <c r="A14" s="2" t="s">
        <v>34</v>
      </c>
      <c r="B14" s="3" t="s">
        <v>12</v>
      </c>
      <c r="C14" s="2" t="s">
        <v>16</v>
      </c>
      <c r="D14" s="2" t="s">
        <v>35</v>
      </c>
      <c r="E14" s="2">
        <v>215</v>
      </c>
      <c r="F14" s="2">
        <v>12</v>
      </c>
    </row>
    <row r="15" spans="1:6" x14ac:dyDescent="0.25">
      <c r="A15" s="4" t="s">
        <v>36</v>
      </c>
      <c r="B15" s="5" t="s">
        <v>8</v>
      </c>
      <c r="C15" s="4" t="s">
        <v>24</v>
      </c>
      <c r="D15" s="4" t="s">
        <v>37</v>
      </c>
      <c r="E15" s="4">
        <v>200</v>
      </c>
      <c r="F15" s="4">
        <v>35</v>
      </c>
    </row>
  </sheetData>
  <autoFilter ref="A3:F15">
    <filterColumn colId="2">
      <filters>
        <filter val="Europe"/>
      </filters>
    </filterColumn>
  </autoFilter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D10"/>
  <sheetViews>
    <sheetView showGridLines="0" workbookViewId="0">
      <selection sqref="A1:D1"/>
    </sheetView>
  </sheetViews>
  <sheetFormatPr defaultRowHeight="15" x14ac:dyDescent="0.25"/>
  <cols>
    <col min="1" max="1" width="27" customWidth="1"/>
    <col min="2" max="4" width="20" customWidth="1"/>
  </cols>
  <sheetData>
    <row r="1" spans="1:4" ht="23.25" x14ac:dyDescent="0.35">
      <c r="A1" s="12" t="s">
        <v>38</v>
      </c>
      <c r="B1" s="11"/>
      <c r="C1" s="11"/>
      <c r="D1" s="11"/>
    </row>
    <row r="3" spans="1:4" ht="18.75" x14ac:dyDescent="0.3">
      <c r="A3" s="6" t="s">
        <v>39</v>
      </c>
      <c r="B3" s="7">
        <f>COUNTA('Flight Log'!A4:A15)</f>
        <v>12</v>
      </c>
    </row>
    <row r="4" spans="1:4" ht="18.75" x14ac:dyDescent="0.3">
      <c r="A4" s="6" t="s">
        <v>40</v>
      </c>
      <c r="B4" s="7">
        <f>SUM('Flight Log'!E4:E15)</f>
        <v>2425</v>
      </c>
    </row>
    <row r="5" spans="1:4" ht="18.75" x14ac:dyDescent="0.3">
      <c r="A5" s="6" t="s">
        <v>41</v>
      </c>
      <c r="B5" s="8">
        <f>AVERAGE('Flight Log'!F4:F15)</f>
        <v>20.833333333333332</v>
      </c>
    </row>
    <row r="6" spans="1:4" ht="18.75" x14ac:dyDescent="0.3">
      <c r="A6" s="6" t="s">
        <v>42</v>
      </c>
      <c r="B6" s="7">
        <f>MAX('Flight Log'!F4:F15)</f>
        <v>50</v>
      </c>
    </row>
    <row r="7" spans="1:4" ht="18.75" x14ac:dyDescent="0.3">
      <c r="A7" s="6" t="s">
        <v>43</v>
      </c>
      <c r="B7" s="7">
        <f>MIN('Flight Log'!F4:F15)</f>
        <v>0</v>
      </c>
    </row>
    <row r="9" spans="1:4" x14ac:dyDescent="0.25">
      <c r="A9" s="9" t="s">
        <v>44</v>
      </c>
      <c r="B9" s="9" t="s">
        <v>9</v>
      </c>
    </row>
    <row r="10" spans="1:4" x14ac:dyDescent="0.25">
      <c r="A10" s="13" t="s">
        <v>45</v>
      </c>
      <c r="B10" s="11"/>
      <c r="C10" s="11"/>
      <c r="D10" s="11"/>
    </row>
  </sheetData>
  <mergeCells count="2">
    <mergeCell ref="A1:D1"/>
    <mergeCell ref="A10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Flight Log</vt:lpstr>
      <vt:lpstr>Dashboard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ANIME_LOVER</cp:lastModifiedBy>
  <dcterms:created xsi:type="dcterms:W3CDTF">2026-08-24T23:40:40Z</dcterms:created>
  <dcterms:modified xsi:type="dcterms:W3CDTF">2026-08-25T04:39:08Z</dcterms:modified>
</cp:coreProperties>
</file>